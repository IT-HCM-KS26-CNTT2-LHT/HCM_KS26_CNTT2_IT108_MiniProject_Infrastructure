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ownloads\CNTT01_TinHocCoBan_MiniProject_GreenTech\CNTT01_TinHocCoBan_MiniProject_GreenTech\data\"/>
    </mc:Choice>
  </mc:AlternateContent>
  <xr:revisionPtr revIDLastSave="0" documentId="13_ncr:1_{056E7017-9A2C-4483-959D-E320E055741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nh-muc-linh-kien" sheetId="1" r:id="rId1"/>
    <sheet name="trang-thai-tram" sheetId="2" r:id="rId2"/>
    <sheet name="huong-dan" sheetId="3" r:id="rId3"/>
  </sheets>
  <definedNames>
    <definedName name="_xlnm._FilterDatabase" localSheetId="0" hidden="1">'danh-muc-linh-kien'!$A$1:$D$11</definedName>
    <definedName name="_xlnm._FilterDatabase" localSheetId="1" hidden="1">'trang-thai-tram'!$A$1:$E$101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3" l="1"/>
  <c r="C21" i="3" s="1"/>
  <c r="B20" i="3"/>
  <c r="C20" i="3" s="1"/>
  <c r="B19" i="3"/>
  <c r="C19" i="3" s="1"/>
  <c r="B18" i="3"/>
  <c r="C18" i="3" s="1"/>
  <c r="B17" i="3"/>
  <c r="C17" i="3" s="1"/>
  <c r="B12" i="3"/>
  <c r="B13" i="3" s="1"/>
  <c r="B14" i="3" s="1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Arial"/>
            <family val="2"/>
          </rPr>
          <t>Don vi: VND. Du lieu gia lap do nguoi lam bai nhap.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Don vi: GB</t>
        </r>
      </text>
    </comment>
    <comment ref="E1" authorId="0" shapeId="0" xr:uid="{00000000-0006-0000-0100-000002000000}">
      <text>
        <r>
          <rPr>
            <sz val="10"/>
            <rFont val="Arial"/>
            <family val="2"/>
          </rPr>
          <t>Cot tu dong: VLOOKUP(TRIM(ma_linh_kien), bang danh muc, cot 2, FALSE). Khong go tay.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200-000001000000}">
      <text>
        <r>
          <rPr>
            <sz val="10"/>
            <rFont val="Arial"/>
            <family val="2"/>
          </rPr>
          <t>Hang so vat ly: 1 byte = 8 bit. Mang tinh Mbps (bit), file tinh MB (byte).</t>
        </r>
      </text>
    </comment>
  </commentList>
</comments>
</file>

<file path=xl/sharedStrings.xml><?xml version="1.0" encoding="utf-8"?>
<sst xmlns="http://schemas.openxmlformats.org/spreadsheetml/2006/main" count="255" uniqueCount="159">
  <si>
    <t>ma_linh_kien</t>
  </si>
  <si>
    <t>ten_thiet_bi</t>
  </si>
  <si>
    <t>don_gia</t>
  </si>
  <si>
    <t>loai_storage</t>
  </si>
  <si>
    <t>LK001</t>
  </si>
  <si>
    <t>Mini PC Intel N100 8GB</t>
  </si>
  <si>
    <t>SSD</t>
  </si>
  <si>
    <t>LK002</t>
  </si>
  <si>
    <t>Mini PC Intel N95 4GB</t>
  </si>
  <si>
    <t>LK003</t>
  </si>
  <si>
    <t>Raspberry Pi 4B 4GB</t>
  </si>
  <si>
    <t>LK004</t>
  </si>
  <si>
    <t>Orange Pi 5 8GB</t>
  </si>
  <si>
    <t>LK005</t>
  </si>
  <si>
    <t>Industrial Box PC Core i3</t>
  </si>
  <si>
    <t>LK006</t>
  </si>
  <si>
    <t>Mini PC Celeron J4125</t>
  </si>
  <si>
    <t>HDD</t>
  </si>
  <si>
    <t>LK007</t>
  </si>
  <si>
    <t>Jetson Nano 4GB</t>
  </si>
  <si>
    <t>LK008</t>
  </si>
  <si>
    <t>Mini PC AMD Ryzen 3</t>
  </si>
  <si>
    <t>LK009</t>
  </si>
  <si>
    <t>Thin Client J1900</t>
  </si>
  <si>
    <t>LK010</t>
  </si>
  <si>
    <t>Rock Pi 4 4GB</t>
  </si>
  <si>
    <t>ma_tram</t>
  </si>
  <si>
    <t>dung_luong_ram</t>
  </si>
  <si>
    <t>ngay_lap_dat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</si>
  <si>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</si>
  <si>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</si>
  <si>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</si>
  <si>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</si>
  <si>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</si>
  <si>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</si>
  <si>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</si>
  <si>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</si>
  <si>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</si>
  <si>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 xml:space="preserve"> LK010</t>
  </si>
  <si>
    <t>TR010</t>
  </si>
  <si>
    <t>TR011</t>
  </si>
  <si>
    <t>TR012</t>
  </si>
  <si>
    <t>TR013</t>
  </si>
  <si>
    <t xml:space="preserve">LK010  </t>
  </si>
  <si>
    <t>TR014</t>
  </si>
  <si>
    <t>TR015</t>
  </si>
  <si>
    <t>TR016</t>
  </si>
  <si>
    <t>TR017</t>
  </si>
  <si>
    <t>TR018</t>
  </si>
  <si>
    <t xml:space="preserve"> LK006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</si>
  <si>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</si>
  <si>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</si>
  <si>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</si>
  <si>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</si>
  <si>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</si>
  <si>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</si>
  <si>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</si>
  <si>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</si>
  <si>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 xml:space="preserve">LK007  </t>
  </si>
  <si>
    <t>TR027</t>
  </si>
  <si>
    <t xml:space="preserve"> LK009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</si>
  <si>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</si>
  <si>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</si>
  <si>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</si>
  <si>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</si>
  <si>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</si>
  <si>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</si>
  <si>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</si>
  <si>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</si>
  <si>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</si>
  <si>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 xml:space="preserve"> LK001</t>
  </si>
  <si>
    <t>TR037</t>
  </si>
  <si>
    <t>TR038</t>
  </si>
  <si>
    <t>TR039</t>
  </si>
  <si>
    <t xml:space="preserve">LK003  </t>
  </si>
  <si>
    <t>TR040</t>
  </si>
  <si>
    <t>TR041</t>
  </si>
  <si>
    <t>TR042</t>
  </si>
  <si>
    <t>TR043</t>
  </si>
  <si>
    <t>TR044</t>
  </si>
  <si>
    <t>TR045</t>
  </si>
  <si>
    <t xml:space="preserve"> LK004</t>
  </si>
  <si>
    <t>TR046</t>
  </si>
  <si>
    <t>TR047</t>
  </si>
  <si>
    <t>TR048</t>
  </si>
  <si>
    <t>TR049</t>
  </si>
  <si>
    <t>TR050</t>
  </si>
  <si>
    <t>TR051</t>
  </si>
  <si>
    <t>TR052</t>
  </si>
  <si>
    <t>TR053</t>
  </si>
  <si>
    <t>TR054</t>
  </si>
  <si>
    <t>TR055</t>
  </si>
  <si>
    <t>TR056</t>
  </si>
  <si>
    <t>TR057</t>
  </si>
  <si>
    <t>TR058</t>
  </si>
  <si>
    <t>TR059</t>
  </si>
  <si>
    <t>TR060</t>
  </si>
  <si>
    <t>TR061</t>
  </si>
  <si>
    <t>TR062</t>
  </si>
  <si>
    <t>TR063</t>
  </si>
  <si>
    <t xml:space="preserve"> LK008</t>
  </si>
  <si>
    <t>TR064</t>
  </si>
  <si>
    <t>TR065</t>
  </si>
  <si>
    <t xml:space="preserve">LK008  </t>
  </si>
  <si>
    <t>TR066</t>
  </si>
  <si>
    <t>TR067</t>
  </si>
  <si>
    <t>TR068</t>
  </si>
  <si>
    <t>TR069</t>
  </si>
  <si>
    <t>TR070</t>
  </si>
  <si>
    <t>TR071</t>
  </si>
  <si>
    <t>TR072</t>
  </si>
  <si>
    <t xml:space="preserve"> LK003</t>
  </si>
  <si>
    <t>TR073</t>
  </si>
  <si>
    <t>TR074</t>
  </si>
  <si>
    <t>TR075</t>
  </si>
  <si>
    <t>TR076</t>
  </si>
  <si>
    <t>TR077</t>
  </si>
  <si>
    <t>TR078</t>
  </si>
  <si>
    <t xml:space="preserve">LK005  </t>
  </si>
  <si>
    <t>TR079</t>
  </si>
  <si>
    <t>TR080</t>
  </si>
  <si>
    <t>TR081</t>
  </si>
  <si>
    <t xml:space="preserve"> LK002</t>
  </si>
  <si>
    <t>TR082</t>
  </si>
  <si>
    <t>TR083</t>
  </si>
  <si>
    <t>TR084</t>
  </si>
  <si>
    <t>TR085</t>
  </si>
  <si>
    <t>TR086</t>
  </si>
  <si>
    <t>TR087</t>
  </si>
  <si>
    <t>TR088</t>
  </si>
  <si>
    <t>TR089</t>
  </si>
  <si>
    <t>TR090</t>
  </si>
  <si>
    <t>TR091</t>
  </si>
  <si>
    <t xml:space="preserve">LK001  </t>
  </si>
  <si>
    <t>TR092</t>
  </si>
  <si>
    <t>TR093</t>
  </si>
  <si>
    <t>TR094</t>
  </si>
  <si>
    <t>TR095</t>
  </si>
  <si>
    <t>TR096</t>
  </si>
  <si>
    <t>TR097</t>
  </si>
  <si>
    <t>TR098</t>
  </si>
  <si>
    <t>TR099</t>
  </si>
  <si>
    <t xml:space="preserve"> LK005</t>
  </si>
  <si>
    <t>TR100</t>
  </si>
  <si>
    <t>HUONG DAN SU DUNG</t>
  </si>
  <si>
    <t>Vung du lieu o 2 sheet dau KHONG co hang trong, KHONG Merge Cell -&gt; AutoFilter chay dung.</t>
  </si>
  <si>
    <t>Cot ten_thiet_bi (sheet trang-thai-tram) la cong thuc VLOOKUP - KHONG go de len.</t>
  </si>
  <si>
    <t>Chu xanh duong = o nhap lieu (duoc sua). Chu den = cong thuc (khong sua).</t>
  </si>
  <si>
    <t>Cot dung_luong_ram don vi GB. Cot don_gia don vi VND. Du lieu la gia lap.</t>
  </si>
  <si>
    <t>Mau 1 dong de nhap them: TR101 | LK003 | 4 | 29/10/2026 | (tu dong)</t>
  </si>
  <si>
    <t>TINH THOI GIAN TAI FILE LOG (b nho = bit, B hoa = Byte; vi du 80 Mbps = 10 MB/s)</t>
  </si>
  <si>
    <t>Dung luong file log (MB)</t>
  </si>
  <si>
    <t>Toc do mang (Mbps)</t>
  </si>
  <si>
    <t>He so quy doi (1 byte = 8 bit)</t>
  </si>
  <si>
    <t>Toc do thuc te (MB/s)</t>
  </si>
  <si>
    <t>Thoi gian tai (giay)</t>
  </si>
  <si>
    <t>Thoi gian tai (phut)</t>
  </si>
  <si>
    <t>MB/s</t>
  </si>
  <si>
    <t>Thoi gian (giay)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</si>
</sst>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1"/>
      <name val="Arial"/>
      <charset val="1"/>
    </font>
    <font>
      <sz val="11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2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30" customWidth="1"/>
    <col min="3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4200000</v>
      </c>
      <c r="D2" s="2" t="s">
        <v>6</v>
      </c>
    </row>
    <row r="3" spans="1:4" x14ac:dyDescent="0.3">
      <c r="A3" s="2" t="s">
        <v>7</v>
      </c>
      <c r="B3" s="2" t="s">
        <v>8</v>
      </c>
      <c r="C3" s="3">
        <v>3600000</v>
      </c>
      <c r="D3" s="2" t="s">
        <v>6</v>
      </c>
    </row>
    <row r="4" spans="1:4" x14ac:dyDescent="0.3">
      <c r="A4" s="2" t="s">
        <v>9</v>
      </c>
      <c r="B4" s="2" t="s">
        <v>10</v>
      </c>
      <c r="C4" s="3">
        <v>1500000</v>
      </c>
      <c r="D4" s="2" t="s">
        <v>6</v>
      </c>
    </row>
    <row r="5" spans="1:4" x14ac:dyDescent="0.3">
      <c r="A5" s="2" t="s">
        <v>11</v>
      </c>
      <c r="B5" s="2" t="s">
        <v>12</v>
      </c>
      <c r="C5" s="3">
        <v>2900000</v>
      </c>
      <c r="D5" s="2" t="s">
        <v>6</v>
      </c>
    </row>
    <row r="6" spans="1:4" x14ac:dyDescent="0.3">
      <c r="A6" s="2" t="s">
        <v>13</v>
      </c>
      <c r="B6" s="2" t="s">
        <v>14</v>
      </c>
      <c r="C6" s="3">
        <v>9500000</v>
      </c>
      <c r="D6" s="2" t="s">
        <v>6</v>
      </c>
    </row>
    <row r="7" spans="1:4" x14ac:dyDescent="0.3">
      <c r="A7" s="2" t="s">
        <v>15</v>
      </c>
      <c r="B7" s="2" t="s">
        <v>16</v>
      </c>
      <c r="C7" s="3">
        <v>3900000</v>
      </c>
      <c r="D7" s="2" t="s">
        <v>17</v>
      </c>
    </row>
    <row r="8" spans="1:4" x14ac:dyDescent="0.3">
      <c r="A8" s="2" t="s">
        <v>18</v>
      </c>
      <c r="B8" s="2" t="s">
        <v>19</v>
      </c>
      <c r="C8" s="3">
        <v>3400000</v>
      </c>
      <c r="D8" s="2" t="s">
        <v>6</v>
      </c>
    </row>
    <row r="9" spans="1:4" x14ac:dyDescent="0.3">
      <c r="A9" s="2" t="s">
        <v>20</v>
      </c>
      <c r="B9" s="2" t="s">
        <v>21</v>
      </c>
      <c r="C9" s="3">
        <v>6200000</v>
      </c>
      <c r="D9" s="2" t="s">
        <v>6</v>
      </c>
    </row>
    <row r="10" spans="1:4" x14ac:dyDescent="0.3">
      <c r="A10" s="2" t="s">
        <v>22</v>
      </c>
      <c r="B10" s="2" t="s">
        <v>23</v>
      </c>
      <c r="C10" s="3">
        <v>2100000</v>
      </c>
      <c r="D10" s="2" t="s">
        <v>17</v>
      </c>
    </row>
    <row r="11" spans="1:4" x14ac:dyDescent="0.3">
      <c r="A11" s="2" t="s">
        <v>24</v>
      </c>
      <c r="B11" s="2" t="s">
        <v>25</v>
      </c>
      <c r="C11" s="3">
        <v>1900000</v>
      </c>
      <c r="D11" s="2" t="s">
        <v>6</v>
      </c>
    </row>
  </sheetData>
  <autoFilter ref="A1:D11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4" width="16" customWidth="1"/>
    <col min="5" max="5" width="30" customWidth="1"/>
  </cols>
  <sheetData>
    <row r="1" spans="1:5" x14ac:dyDescent="0.3">
      <c r="A1" s="1" t="s">
        <v>26</v>
      </c>
      <c r="B1" s="1" t="s">
        <v>0</v>
      </c>
      <c r="C1" s="1" t="s">
        <v>27</v>
      </c>
      <c r="D1" s="1" t="s">
        <v>28</v>
      </c>
      <c r="E1" s="1" t="s">
        <v>1</v>
      </c>
    </row>
    <row r="2" spans="1:5" x14ac:dyDescent="0.3">
      <c r="A2" s="2" t="s">
        <v>29</v>
      </c>
      <c r="B2" s="2" t="s">
        <v>15</v>
      </c>
      <c r="C2" s="2">
        <v>16</v>
      </c>
      <c r="D2" s="4">
        <v>45812</v>
      </c>
      <c r="E2" s="2" t="str">
        <f>VLOOKUP(TRIM(B2),'danh-muc-linh-kien'!$A$2:$D$11,2,FALSE())</f>
        <v>Mini PC Celeron J4125</v>
      </c>
    </row>
    <row r="3" spans="1:5" x14ac:dyDescent="0.3">
      <c r="A3" s="2" t="s">
        <v>30</v>
      </c>
      <c r="B3" s="2" t="s">
        <v>4</v>
      </c>
      <c r="C3" s="2">
        <v>2</v>
      </c>
      <c r="D3" s="4">
        <v>45732</v>
      </c>
      <c r="E3" s="2" t="str">
        <f>VLOOKUP(TRIM(B3),'danh-muc-linh-kien'!$A$2:$D$11,2,FALSE())</f>
        <v>Mini PC Intel N100 8GB</v>
      </c>
    </row>
    <row r="4" spans="1:5" x14ac:dyDescent="0.3">
      <c r="A4" s="2" t="s">
        <v>31</v>
      </c>
      <c r="B4" s="2" t="s">
        <v>15</v>
      </c>
      <c r="C4" s="2">
        <v>2</v>
      </c>
      <c r="D4" s="4">
        <v>46254</v>
      </c>
      <c r="E4" s="2" t="str">
        <f>VLOOKUP(TRIM(B4),'danh-muc-linh-kien'!$A$2:$D$11,2,FALSE())</f>
        <v>Mini PC Celeron J4125</v>
      </c>
    </row>
    <row r="5" spans="1:5" x14ac:dyDescent="0.3">
      <c r="A5" s="2" t="s">
        <v>32</v>
      </c>
      <c r="B5" s="2" t="s">
        <v>22</v>
      </c>
      <c r="C5" s="2">
        <v>2</v>
      </c>
      <c r="D5" s="4">
        <v>45877</v>
      </c>
      <c r="E5" s="2" t="str">
        <f>VLOOKUP(TRIM(B5),'danh-muc-linh-kien'!$A$2:$D$11,2,FALSE())</f>
        <v>Thin Client J1900</v>
      </c>
    </row>
    <row r="6" spans="1:5" x14ac:dyDescent="0.3">
      <c r="A6" s="2" t="s">
        <v>33</v>
      </c>
      <c r="B6" s="2" t="s">
        <v>7</v>
      </c>
      <c r="C6" s="2">
        <v>16</v>
      </c>
      <c r="D6" s="4">
        <v>46102</v>
      </c>
      <c r="E6" s="2" t="str">
        <f>VLOOKUP(TRIM(B6),'danh-muc-linh-kien'!$A$2:$D$11,2,FALSE())</f>
        <v>Mini PC Intel N95 4GB</v>
      </c>
    </row>
    <row r="7" spans="1:5" x14ac:dyDescent="0.3">
      <c r="A7" s="2" t="s">
        <v>34</v>
      </c>
      <c r="B7" s="2" t="s">
        <v>7</v>
      </c>
      <c r="C7" s="2">
        <v>2</v>
      </c>
      <c r="D7" s="4">
        <v>45904</v>
      </c>
      <c r="E7" s="2" t="str">
        <f>VLOOKUP(TRIM(B7),'danh-muc-linh-kien'!$A$2:$D$11,2,FALSE())</f>
        <v>Mini PC Intel N95 4GB</v>
      </c>
    </row>
    <row r="8" spans="1:5" x14ac:dyDescent="0.3">
      <c r="A8" s="2" t="s">
        <v>35</v>
      </c>
      <c r="B8" s="2" t="s">
        <v>22</v>
      </c>
      <c r="C8" s="2">
        <v>2</v>
      </c>
      <c r="D8" s="4">
        <v>46092</v>
      </c>
      <c r="E8" s="2" t="str">
        <f>VLOOKUP(TRIM(B8),'danh-muc-linh-kien'!$A$2:$D$11,2,FALSE())</f>
        <v>Thin Client J1900</v>
      </c>
    </row>
    <row r="9" spans="1:5" x14ac:dyDescent="0.3">
      <c r="A9" s="2" t="s">
        <v>36</v>
      </c>
      <c r="B9" s="2" t="s">
        <v>24</v>
      </c>
      <c r="C9" s="2">
        <v>4</v>
      </c>
      <c r="D9" s="4">
        <v>45784</v>
      </c>
      <c r="E9" s="2" t="str">
        <f>VLOOKUP(TRIM(B9),'danh-muc-linh-kien'!$A$2:$D$11,2,FALSE())</f>
        <v>Rock Pi 4 4GB</v>
      </c>
    </row>
    <row r="10" spans="1:5" x14ac:dyDescent="0.3">
      <c r="A10" s="2" t="s">
        <v>37</v>
      </c>
      <c r="B10" s="2" t="s">
        <v>38</v>
      </c>
      <c r="C10" s="2">
        <v>16</v>
      </c>
      <c r="D10" s="4">
        <v>45721</v>
      </c>
      <c r="E10" s="2" t="str">
        <f>VLOOKUP(TRIM(B10),'danh-muc-linh-kien'!$A$2:$D$11,2,FALSE())</f>
        <v>Rock Pi 4 4GB</v>
      </c>
    </row>
    <row r="11" spans="1:5" x14ac:dyDescent="0.3">
      <c r="A11" s="2" t="s">
        <v>39</v>
      </c>
      <c r="B11" s="2" t="s">
        <v>4</v>
      </c>
      <c r="C11" s="2">
        <v>2</v>
      </c>
      <c r="D11" s="4">
        <v>45884</v>
      </c>
      <c r="E11" s="2" t="str">
        <f>VLOOKUP(TRIM(B11),'danh-muc-linh-kien'!$A$2:$D$11,2,FALSE())</f>
        <v>Mini PC Intel N100 8GB</v>
      </c>
    </row>
    <row r="12" spans="1:5" x14ac:dyDescent="0.3">
      <c r="A12" s="2" t="s">
        <v>40</v>
      </c>
      <c r="B12" s="2" t="s">
        <v>22</v>
      </c>
      <c r="C12" s="2">
        <v>8</v>
      </c>
      <c r="D12" s="4">
        <v>45794</v>
      </c>
      <c r="E12" s="2" t="str">
        <f>VLOOKUP(TRIM(B12),'danh-muc-linh-kien'!$A$2:$D$11,2,FALSE())</f>
        <v>Thin Client J1900</v>
      </c>
    </row>
    <row r="13" spans="1:5" x14ac:dyDescent="0.3">
      <c r="A13" s="2" t="s">
        <v>41</v>
      </c>
      <c r="B13" s="2" t="s">
        <v>18</v>
      </c>
      <c r="C13" s="2">
        <v>2</v>
      </c>
      <c r="D13" s="4">
        <v>45805</v>
      </c>
      <c r="E13" s="2" t="str">
        <f>VLOOKUP(TRIM(B13),'danh-muc-linh-kien'!$A$2:$D$11,2,FALSE())</f>
        <v>Jetson Nano 4GB</v>
      </c>
    </row>
    <row r="14" spans="1:5" x14ac:dyDescent="0.3">
      <c r="A14" s="2" t="s">
        <v>42</v>
      </c>
      <c r="B14" s="2" t="s">
        <v>43</v>
      </c>
      <c r="C14" s="2">
        <v>4</v>
      </c>
      <c r="D14" s="4">
        <v>45973</v>
      </c>
      <c r="E14" s="2" t="str">
        <f>VLOOKUP(TRIM(B14),'danh-muc-linh-kien'!$A$2:$D$11,2,FALSE())</f>
        <v>Rock Pi 4 4GB</v>
      </c>
    </row>
    <row r="15" spans="1:5" x14ac:dyDescent="0.3">
      <c r="A15" s="2" t="s">
        <v>44</v>
      </c>
      <c r="B15" s="2" t="s">
        <v>7</v>
      </c>
      <c r="C15" s="2">
        <v>4</v>
      </c>
      <c r="D15" s="4">
        <v>46253</v>
      </c>
      <c r="E15" s="2" t="str">
        <f>VLOOKUP(TRIM(B15),'danh-muc-linh-kien'!$A$2:$D$11,2,FALSE())</f>
        <v>Mini PC Intel N95 4GB</v>
      </c>
    </row>
    <row r="16" spans="1:5" x14ac:dyDescent="0.3">
      <c r="A16" s="2" t="s">
        <v>45</v>
      </c>
      <c r="B16" s="2" t="s">
        <v>15</v>
      </c>
      <c r="C16" s="2">
        <v>2</v>
      </c>
      <c r="D16" s="4">
        <v>45757</v>
      </c>
      <c r="E16" s="2" t="str">
        <f>VLOOKUP(TRIM(B16),'danh-muc-linh-kien'!$A$2:$D$11,2,FALSE())</f>
        <v>Mini PC Celeron J4125</v>
      </c>
    </row>
    <row r="17" spans="1:5" x14ac:dyDescent="0.3">
      <c r="A17" s="2" t="s">
        <v>46</v>
      </c>
      <c r="B17" s="2" t="s">
        <v>24</v>
      </c>
      <c r="C17" s="2">
        <v>4</v>
      </c>
      <c r="D17" s="4">
        <v>45719</v>
      </c>
      <c r="E17" s="2" t="str">
        <f>VLOOKUP(TRIM(B17),'danh-muc-linh-kien'!$A$2:$D$11,2,FALSE())</f>
        <v>Rock Pi 4 4GB</v>
      </c>
    </row>
    <row r="18" spans="1:5" x14ac:dyDescent="0.3">
      <c r="A18" s="2" t="s">
        <v>47</v>
      </c>
      <c r="B18" s="2" t="s">
        <v>20</v>
      </c>
      <c r="C18" s="2">
        <v>16</v>
      </c>
      <c r="D18" s="4">
        <v>46202</v>
      </c>
      <c r="E18" s="2" t="str">
        <f>VLOOKUP(TRIM(B18),'danh-muc-linh-kien'!$A$2:$D$11,2,FALSE())</f>
        <v>Mini PC AMD Ryzen 3</v>
      </c>
    </row>
    <row r="19" spans="1:5" x14ac:dyDescent="0.3">
      <c r="A19" s="2" t="s">
        <v>48</v>
      </c>
      <c r="B19" s="2" t="s">
        <v>49</v>
      </c>
      <c r="C19" s="2">
        <v>16</v>
      </c>
      <c r="D19" s="4">
        <v>46134</v>
      </c>
      <c r="E19" s="2" t="str">
        <f>VLOOKUP(TRIM(B19),'danh-muc-linh-kien'!$A$2:$D$11,2,FALSE())</f>
        <v>Mini PC Celeron J4125</v>
      </c>
    </row>
    <row r="20" spans="1:5" x14ac:dyDescent="0.3">
      <c r="A20" s="2" t="s">
        <v>50</v>
      </c>
      <c r="B20" s="2" t="s">
        <v>15</v>
      </c>
      <c r="C20" s="2">
        <v>4</v>
      </c>
      <c r="D20" s="4">
        <v>45964</v>
      </c>
      <c r="E20" s="2" t="str">
        <f>VLOOKUP(TRIM(B20),'danh-muc-linh-kien'!$A$2:$D$11,2,FALSE())</f>
        <v>Mini PC Celeron J4125</v>
      </c>
    </row>
    <row r="21" spans="1:5" x14ac:dyDescent="0.3">
      <c r="A21" s="2" t="s">
        <v>51</v>
      </c>
      <c r="B21" s="2" t="s">
        <v>9</v>
      </c>
      <c r="C21" s="2">
        <v>2</v>
      </c>
      <c r="D21" s="4">
        <v>45907</v>
      </c>
      <c r="E21" s="2" t="str">
        <f>VLOOKUP(TRIM(B21),'danh-muc-linh-kien'!$A$2:$D$11,2,FALSE())</f>
        <v>Raspberry Pi 4B 4GB</v>
      </c>
    </row>
    <row r="22" spans="1:5" x14ac:dyDescent="0.3">
      <c r="A22" s="2" t="s">
        <v>52</v>
      </c>
      <c r="B22" s="2" t="s">
        <v>24</v>
      </c>
      <c r="C22" s="2">
        <v>16</v>
      </c>
      <c r="D22" s="4">
        <v>45965</v>
      </c>
      <c r="E22" s="2" t="str">
        <f>VLOOKUP(TRIM(B22),'danh-muc-linh-kien'!$A$2:$D$11,2,FALSE())</f>
        <v>Rock Pi 4 4GB</v>
      </c>
    </row>
    <row r="23" spans="1:5" x14ac:dyDescent="0.3">
      <c r="A23" s="2" t="s">
        <v>53</v>
      </c>
      <c r="B23" s="2" t="s">
        <v>15</v>
      </c>
      <c r="C23" s="2">
        <v>8</v>
      </c>
      <c r="D23" s="4">
        <v>46117</v>
      </c>
      <c r="E23" s="2" t="str">
        <f>VLOOKUP(TRIM(B23),'danh-muc-linh-kien'!$A$2:$D$11,2,FALSE())</f>
        <v>Mini PC Celeron J4125</v>
      </c>
    </row>
    <row r="24" spans="1:5" x14ac:dyDescent="0.3">
      <c r="A24" s="2" t="s">
        <v>54</v>
      </c>
      <c r="B24" s="2" t="s">
        <v>24</v>
      </c>
      <c r="C24" s="2">
        <v>2</v>
      </c>
      <c r="D24" s="4">
        <v>45732</v>
      </c>
      <c r="E24" s="2" t="str">
        <f>VLOOKUP(TRIM(B24),'danh-muc-linh-kien'!$A$2:$D$11,2,FALSE())</f>
        <v>Rock Pi 4 4GB</v>
      </c>
    </row>
    <row r="25" spans="1:5" x14ac:dyDescent="0.3">
      <c r="A25" s="2" t="s">
        <v>55</v>
      </c>
      <c r="B25" s="2" t="s">
        <v>22</v>
      </c>
      <c r="C25" s="2">
        <v>4</v>
      </c>
      <c r="D25" s="4">
        <v>46086</v>
      </c>
      <c r="E25" s="2" t="str">
        <f>VLOOKUP(TRIM(B25),'danh-muc-linh-kien'!$A$2:$D$11,2,FALSE())</f>
        <v>Thin Client J1900</v>
      </c>
    </row>
    <row r="26" spans="1:5" x14ac:dyDescent="0.3">
      <c r="A26" s="2" t="s">
        <v>56</v>
      </c>
      <c r="B26" s="2" t="s">
        <v>15</v>
      </c>
      <c r="C26" s="2">
        <v>16</v>
      </c>
      <c r="D26" s="4">
        <v>45813</v>
      </c>
      <c r="E26" s="2" t="str">
        <f>VLOOKUP(TRIM(B26),'danh-muc-linh-kien'!$A$2:$D$11,2,FALSE())</f>
        <v>Mini PC Celeron J4125</v>
      </c>
    </row>
    <row r="27" spans="1:5" x14ac:dyDescent="0.3">
      <c r="A27" s="2" t="s">
        <v>57</v>
      </c>
      <c r="B27" s="2" t="s">
        <v>58</v>
      </c>
      <c r="C27" s="2">
        <v>2</v>
      </c>
      <c r="D27" s="4">
        <v>45698</v>
      </c>
      <c r="E27" s="2" t="str">
        <f>VLOOKUP(TRIM(B27),'danh-muc-linh-kien'!$A$2:$D$11,2,FALSE())</f>
        <v>Jetson Nano 4GB</v>
      </c>
    </row>
    <row r="28" spans="1:5" x14ac:dyDescent="0.3">
      <c r="A28" s="2" t="s">
        <v>59</v>
      </c>
      <c r="B28" s="2" t="s">
        <v>60</v>
      </c>
      <c r="C28" s="2">
        <v>8</v>
      </c>
      <c r="D28" s="4">
        <v>46244</v>
      </c>
      <c r="E28" s="2" t="str">
        <f>VLOOKUP(TRIM(B28),'danh-muc-linh-kien'!$A$2:$D$11,2,FALSE())</f>
        <v>Thin Client J1900</v>
      </c>
    </row>
    <row r="29" spans="1:5" x14ac:dyDescent="0.3">
      <c r="A29" s="2" t="s">
        <v>61</v>
      </c>
      <c r="B29" s="2" t="s">
        <v>15</v>
      </c>
      <c r="C29" s="2">
        <v>16</v>
      </c>
      <c r="D29" s="4">
        <v>46016</v>
      </c>
      <c r="E29" s="2" t="str">
        <f>VLOOKUP(TRIM(B29),'danh-muc-linh-kien'!$A$2:$D$11,2,FALSE())</f>
        <v>Mini PC Celeron J4125</v>
      </c>
    </row>
    <row r="30" spans="1:5" x14ac:dyDescent="0.3">
      <c r="A30" s="2" t="s">
        <v>62</v>
      </c>
      <c r="B30" s="2" t="s">
        <v>24</v>
      </c>
      <c r="C30" s="2">
        <v>2</v>
      </c>
      <c r="D30" s="4">
        <v>46125</v>
      </c>
      <c r="E30" s="2" t="str">
        <f>VLOOKUP(TRIM(B30),'danh-muc-linh-kien'!$A$2:$D$11,2,FALSE())</f>
        <v>Rock Pi 4 4GB</v>
      </c>
    </row>
    <row r="31" spans="1:5" x14ac:dyDescent="0.3">
      <c r="A31" s="2" t="s">
        <v>63</v>
      </c>
      <c r="B31" s="2" t="s">
        <v>7</v>
      </c>
      <c r="C31" s="2">
        <v>16</v>
      </c>
      <c r="D31" s="4">
        <v>45934</v>
      </c>
      <c r="E31" s="2" t="str">
        <f>VLOOKUP(TRIM(B31),'danh-muc-linh-kien'!$A$2:$D$11,2,FALSE())</f>
        <v>Mini PC Intel N95 4GB</v>
      </c>
    </row>
    <row r="32" spans="1:5" x14ac:dyDescent="0.3">
      <c r="A32" s="2" t="s">
        <v>64</v>
      </c>
      <c r="B32" s="2" t="s">
        <v>7</v>
      </c>
      <c r="C32" s="2">
        <v>8</v>
      </c>
      <c r="D32" s="4">
        <v>45720</v>
      </c>
      <c r="E32" s="2" t="str">
        <f>VLOOKUP(TRIM(B32),'danh-muc-linh-kien'!$A$2:$D$11,2,FALSE())</f>
        <v>Mini PC Intel N95 4GB</v>
      </c>
    </row>
    <row r="33" spans="1:5" x14ac:dyDescent="0.3">
      <c r="A33" s="2" t="s">
        <v>65</v>
      </c>
      <c r="B33" s="2" t="s">
        <v>24</v>
      </c>
      <c r="C33" s="2">
        <v>8</v>
      </c>
      <c r="D33" s="4">
        <v>46114</v>
      </c>
      <c r="E33" s="2" t="str">
        <f>VLOOKUP(TRIM(B33),'danh-muc-linh-kien'!$A$2:$D$11,2,FALSE())</f>
        <v>Rock Pi 4 4GB</v>
      </c>
    </row>
    <row r="34" spans="1:5" x14ac:dyDescent="0.3">
      <c r="A34" s="2" t="s">
        <v>66</v>
      </c>
      <c r="B34" s="2" t="s">
        <v>18</v>
      </c>
      <c r="C34" s="2">
        <v>2</v>
      </c>
      <c r="D34" s="4">
        <v>46013</v>
      </c>
      <c r="E34" s="2" t="str">
        <f>VLOOKUP(TRIM(B34),'danh-muc-linh-kien'!$A$2:$D$11,2,FALSE())</f>
        <v>Jetson Nano 4GB</v>
      </c>
    </row>
    <row r="35" spans="1:5" x14ac:dyDescent="0.3">
      <c r="A35" s="2" t="s">
        <v>67</v>
      </c>
      <c r="B35" s="2" t="s">
        <v>20</v>
      </c>
      <c r="C35" s="2">
        <v>4</v>
      </c>
      <c r="D35" s="4">
        <v>46021</v>
      </c>
      <c r="E35" s="2" t="str">
        <f>VLOOKUP(TRIM(B35),'danh-muc-linh-kien'!$A$2:$D$11,2,FALSE())</f>
        <v>Mini PC AMD Ryzen 3</v>
      </c>
    </row>
    <row r="36" spans="1:5" x14ac:dyDescent="0.3">
      <c r="A36" s="2" t="s">
        <v>68</v>
      </c>
      <c r="B36" s="2" t="s">
        <v>24</v>
      </c>
      <c r="C36" s="2">
        <v>16</v>
      </c>
      <c r="D36" s="4">
        <v>45777</v>
      </c>
      <c r="E36" s="2" t="str">
        <f>VLOOKUP(TRIM(B36),'danh-muc-linh-kien'!$A$2:$D$11,2,FALSE())</f>
        <v>Rock Pi 4 4GB</v>
      </c>
    </row>
    <row r="37" spans="1:5" x14ac:dyDescent="0.3">
      <c r="A37" s="2" t="s">
        <v>69</v>
      </c>
      <c r="B37" s="2" t="s">
        <v>70</v>
      </c>
      <c r="C37" s="2">
        <v>8</v>
      </c>
      <c r="D37" s="4">
        <v>45881</v>
      </c>
      <c r="E37" s="2" t="str">
        <f>VLOOKUP(TRIM(B37),'danh-muc-linh-kien'!$A$2:$D$11,2,FALSE())</f>
        <v>Mini PC Intel N100 8GB</v>
      </c>
    </row>
    <row r="38" spans="1:5" x14ac:dyDescent="0.3">
      <c r="A38" s="2" t="s">
        <v>71</v>
      </c>
      <c r="B38" s="2" t="s">
        <v>9</v>
      </c>
      <c r="C38" s="2">
        <v>16</v>
      </c>
      <c r="D38" s="4">
        <v>45911</v>
      </c>
      <c r="E38" s="2" t="str">
        <f>VLOOKUP(TRIM(B38),'danh-muc-linh-kien'!$A$2:$D$11,2,FALSE())</f>
        <v>Raspberry Pi 4B 4GB</v>
      </c>
    </row>
    <row r="39" spans="1:5" x14ac:dyDescent="0.3">
      <c r="A39" s="2" t="s">
        <v>72</v>
      </c>
      <c r="B39" s="2" t="s">
        <v>18</v>
      </c>
      <c r="C39" s="2">
        <v>2</v>
      </c>
      <c r="D39" s="4">
        <v>46166</v>
      </c>
      <c r="E39" s="2" t="str">
        <f>VLOOKUP(TRIM(B39),'danh-muc-linh-kien'!$A$2:$D$11,2,FALSE())</f>
        <v>Jetson Nano 4GB</v>
      </c>
    </row>
    <row r="40" spans="1:5" x14ac:dyDescent="0.3">
      <c r="A40" s="2" t="s">
        <v>73</v>
      </c>
      <c r="B40" s="2" t="s">
        <v>74</v>
      </c>
      <c r="C40" s="2">
        <v>16</v>
      </c>
      <c r="D40" s="4">
        <v>46117</v>
      </c>
      <c r="E40" s="2" t="str">
        <f>VLOOKUP(TRIM(B40),'danh-muc-linh-kien'!$A$2:$D$11,2,FALSE())</f>
        <v>Raspberry Pi 4B 4GB</v>
      </c>
    </row>
    <row r="41" spans="1:5" x14ac:dyDescent="0.3">
      <c r="A41" s="2" t="s">
        <v>75</v>
      </c>
      <c r="B41" s="2" t="s">
        <v>22</v>
      </c>
      <c r="C41" s="2">
        <v>4</v>
      </c>
      <c r="D41" s="4">
        <v>45942</v>
      </c>
      <c r="E41" s="2" t="str">
        <f>VLOOKUP(TRIM(B41),'danh-muc-linh-kien'!$A$2:$D$11,2,FALSE())</f>
        <v>Thin Client J1900</v>
      </c>
    </row>
    <row r="42" spans="1:5" x14ac:dyDescent="0.3">
      <c r="A42" s="2" t="s">
        <v>76</v>
      </c>
      <c r="B42" s="2" t="s">
        <v>18</v>
      </c>
      <c r="C42" s="2">
        <v>8</v>
      </c>
      <c r="D42" s="4">
        <v>46221</v>
      </c>
      <c r="E42" s="2" t="str">
        <f>VLOOKUP(TRIM(B42),'danh-muc-linh-kien'!$A$2:$D$11,2,FALSE())</f>
        <v>Jetson Nano 4GB</v>
      </c>
    </row>
    <row r="43" spans="1:5" x14ac:dyDescent="0.3">
      <c r="A43" s="2" t="s">
        <v>77</v>
      </c>
      <c r="B43" s="2" t="s">
        <v>18</v>
      </c>
      <c r="C43" s="2">
        <v>16</v>
      </c>
      <c r="D43" s="4">
        <v>46025</v>
      </c>
      <c r="E43" s="2" t="str">
        <f>VLOOKUP(TRIM(B43),'danh-muc-linh-kien'!$A$2:$D$11,2,FALSE())</f>
        <v>Jetson Nano 4GB</v>
      </c>
    </row>
    <row r="44" spans="1:5" x14ac:dyDescent="0.3">
      <c r="A44" s="2" t="s">
        <v>78</v>
      </c>
      <c r="B44" s="2" t="s">
        <v>11</v>
      </c>
      <c r="C44" s="2">
        <v>2</v>
      </c>
      <c r="D44" s="4">
        <v>45812</v>
      </c>
      <c r="E44" s="2" t="str">
        <f>VLOOKUP(TRIM(B44),'danh-muc-linh-kien'!$A$2:$D$11,2,FALSE())</f>
        <v>Orange Pi 5 8GB</v>
      </c>
    </row>
    <row r="45" spans="1:5" x14ac:dyDescent="0.3">
      <c r="A45" s="2" t="s">
        <v>79</v>
      </c>
      <c r="B45" s="2" t="s">
        <v>9</v>
      </c>
      <c r="C45" s="2">
        <v>4</v>
      </c>
      <c r="D45" s="4">
        <v>45812</v>
      </c>
      <c r="E45" s="2" t="str">
        <f>VLOOKUP(TRIM(B45),'danh-muc-linh-kien'!$A$2:$D$11,2,FALSE())</f>
        <v>Raspberry Pi 4B 4GB</v>
      </c>
    </row>
    <row r="46" spans="1:5" x14ac:dyDescent="0.3">
      <c r="A46" s="2" t="s">
        <v>80</v>
      </c>
      <c r="B46" s="2" t="s">
        <v>81</v>
      </c>
      <c r="C46" s="2">
        <v>16</v>
      </c>
      <c r="D46" s="4">
        <v>45670</v>
      </c>
      <c r="E46" s="2" t="str">
        <f>VLOOKUP(TRIM(B46),'danh-muc-linh-kien'!$A$2:$D$11,2,FALSE())</f>
        <v>Orange Pi 5 8GB</v>
      </c>
    </row>
    <row r="47" spans="1:5" x14ac:dyDescent="0.3">
      <c r="A47" s="2" t="s">
        <v>82</v>
      </c>
      <c r="B47" s="2" t="s">
        <v>24</v>
      </c>
      <c r="C47" s="2">
        <v>8</v>
      </c>
      <c r="D47" s="4">
        <v>45844</v>
      </c>
      <c r="E47" s="2" t="str">
        <f>VLOOKUP(TRIM(B47),'danh-muc-linh-kien'!$A$2:$D$11,2,FALSE())</f>
        <v>Rock Pi 4 4GB</v>
      </c>
    </row>
    <row r="48" spans="1:5" x14ac:dyDescent="0.3">
      <c r="A48" s="2" t="s">
        <v>83</v>
      </c>
      <c r="B48" s="2" t="s">
        <v>13</v>
      </c>
      <c r="C48" s="2">
        <v>4</v>
      </c>
      <c r="D48" s="4">
        <v>45662</v>
      </c>
      <c r="E48" s="2" t="str">
        <f>VLOOKUP(TRIM(B48),'danh-muc-linh-kien'!$A$2:$D$11,2,FALSE())</f>
        <v>Industrial Box PC Core i3</v>
      </c>
    </row>
    <row r="49" spans="1:5" x14ac:dyDescent="0.3">
      <c r="A49" s="2" t="s">
        <v>84</v>
      </c>
      <c r="B49" s="2" t="s">
        <v>18</v>
      </c>
      <c r="C49" s="2">
        <v>8</v>
      </c>
      <c r="D49" s="4">
        <v>46205</v>
      </c>
      <c r="E49" s="2" t="str">
        <f>VLOOKUP(TRIM(B49),'danh-muc-linh-kien'!$A$2:$D$11,2,FALSE())</f>
        <v>Jetson Nano 4GB</v>
      </c>
    </row>
    <row r="50" spans="1:5" x14ac:dyDescent="0.3">
      <c r="A50" s="2" t="s">
        <v>85</v>
      </c>
      <c r="B50" s="2" t="s">
        <v>24</v>
      </c>
      <c r="C50" s="2">
        <v>8</v>
      </c>
      <c r="D50" s="4">
        <v>46237</v>
      </c>
      <c r="E50" s="2" t="str">
        <f>VLOOKUP(TRIM(B50),'danh-muc-linh-kien'!$A$2:$D$11,2,FALSE())</f>
        <v>Rock Pi 4 4GB</v>
      </c>
    </row>
    <row r="51" spans="1:5" x14ac:dyDescent="0.3">
      <c r="A51" s="2" t="s">
        <v>86</v>
      </c>
      <c r="B51" s="2" t="s">
        <v>9</v>
      </c>
      <c r="C51" s="2">
        <v>2</v>
      </c>
      <c r="D51" s="4">
        <v>46185</v>
      </c>
      <c r="E51" s="2" t="str">
        <f>VLOOKUP(TRIM(B51),'danh-muc-linh-kien'!$A$2:$D$11,2,FALSE())</f>
        <v>Raspberry Pi 4B 4GB</v>
      </c>
    </row>
    <row r="52" spans="1:5" x14ac:dyDescent="0.3">
      <c r="A52" s="2" t="s">
        <v>87</v>
      </c>
      <c r="B52" s="2" t="s">
        <v>20</v>
      </c>
      <c r="C52" s="2">
        <v>16</v>
      </c>
      <c r="D52" s="4">
        <v>46230</v>
      </c>
      <c r="E52" s="2" t="str">
        <f>VLOOKUP(TRIM(B52),'danh-muc-linh-kien'!$A$2:$D$11,2,FALSE())</f>
        <v>Mini PC AMD Ryzen 3</v>
      </c>
    </row>
    <row r="53" spans="1:5" x14ac:dyDescent="0.3">
      <c r="A53" s="2" t="s">
        <v>88</v>
      </c>
      <c r="B53" s="2" t="s">
        <v>58</v>
      </c>
      <c r="C53" s="2">
        <v>16</v>
      </c>
      <c r="D53" s="4">
        <v>46066</v>
      </c>
      <c r="E53" s="2" t="str">
        <f>VLOOKUP(TRIM(B53),'danh-muc-linh-kien'!$A$2:$D$11,2,FALSE())</f>
        <v>Jetson Nano 4GB</v>
      </c>
    </row>
    <row r="54" spans="1:5" x14ac:dyDescent="0.3">
      <c r="A54" s="2" t="s">
        <v>89</v>
      </c>
      <c r="B54" s="2" t="s">
        <v>7</v>
      </c>
      <c r="C54" s="2">
        <v>16</v>
      </c>
      <c r="D54" s="4">
        <v>46151</v>
      </c>
      <c r="E54" s="2" t="str">
        <f>VLOOKUP(TRIM(B54),'danh-muc-linh-kien'!$A$2:$D$11,2,FALSE())</f>
        <v>Mini PC Intel N95 4GB</v>
      </c>
    </row>
    <row r="55" spans="1:5" x14ac:dyDescent="0.3">
      <c r="A55" s="2" t="s">
        <v>90</v>
      </c>
      <c r="B55" s="2" t="s">
        <v>70</v>
      </c>
      <c r="C55" s="2">
        <v>2</v>
      </c>
      <c r="D55" s="4">
        <v>45853</v>
      </c>
      <c r="E55" s="2" t="str">
        <f>VLOOKUP(TRIM(B55),'danh-muc-linh-kien'!$A$2:$D$11,2,FALSE())</f>
        <v>Mini PC Intel N100 8GB</v>
      </c>
    </row>
    <row r="56" spans="1:5" x14ac:dyDescent="0.3">
      <c r="A56" s="2" t="s">
        <v>91</v>
      </c>
      <c r="B56" s="2" t="s">
        <v>11</v>
      </c>
      <c r="C56" s="2">
        <v>4</v>
      </c>
      <c r="D56" s="4">
        <v>46109</v>
      </c>
      <c r="E56" s="2" t="str">
        <f>VLOOKUP(TRIM(B56),'danh-muc-linh-kien'!$A$2:$D$11,2,FALSE())</f>
        <v>Orange Pi 5 8GB</v>
      </c>
    </row>
    <row r="57" spans="1:5" x14ac:dyDescent="0.3">
      <c r="A57" s="2" t="s">
        <v>92</v>
      </c>
      <c r="B57" s="2" t="s">
        <v>7</v>
      </c>
      <c r="C57" s="2">
        <v>2</v>
      </c>
      <c r="D57" s="4">
        <v>46006</v>
      </c>
      <c r="E57" s="2" t="str">
        <f>VLOOKUP(TRIM(B57),'danh-muc-linh-kien'!$A$2:$D$11,2,FALSE())</f>
        <v>Mini PC Intel N95 4GB</v>
      </c>
    </row>
    <row r="58" spans="1:5" x14ac:dyDescent="0.3">
      <c r="A58" s="2" t="s">
        <v>93</v>
      </c>
      <c r="B58" s="2" t="s">
        <v>7</v>
      </c>
      <c r="C58" s="2">
        <v>4</v>
      </c>
      <c r="D58" s="4">
        <v>45658</v>
      </c>
      <c r="E58" s="2" t="str">
        <f>VLOOKUP(TRIM(B58),'danh-muc-linh-kien'!$A$2:$D$11,2,FALSE())</f>
        <v>Mini PC Intel N95 4GB</v>
      </c>
    </row>
    <row r="59" spans="1:5" x14ac:dyDescent="0.3">
      <c r="A59" s="2" t="s">
        <v>94</v>
      </c>
      <c r="B59" s="2" t="s">
        <v>22</v>
      </c>
      <c r="C59" s="2">
        <v>8</v>
      </c>
      <c r="D59" s="4">
        <v>45761</v>
      </c>
      <c r="E59" s="2" t="str">
        <f>VLOOKUP(TRIM(B59),'danh-muc-linh-kien'!$A$2:$D$11,2,FALSE())</f>
        <v>Thin Client J1900</v>
      </c>
    </row>
    <row r="60" spans="1:5" x14ac:dyDescent="0.3">
      <c r="A60" s="2" t="s">
        <v>95</v>
      </c>
      <c r="B60" s="2" t="s">
        <v>24</v>
      </c>
      <c r="C60" s="2">
        <v>2</v>
      </c>
      <c r="D60" s="4">
        <v>45684</v>
      </c>
      <c r="E60" s="2" t="str">
        <f>VLOOKUP(TRIM(B60),'danh-muc-linh-kien'!$A$2:$D$11,2,FALSE())</f>
        <v>Rock Pi 4 4GB</v>
      </c>
    </row>
    <row r="61" spans="1:5" x14ac:dyDescent="0.3">
      <c r="A61" s="2" t="s">
        <v>96</v>
      </c>
      <c r="B61" s="2" t="s">
        <v>11</v>
      </c>
      <c r="C61" s="2">
        <v>16</v>
      </c>
      <c r="D61" s="4">
        <v>46286</v>
      </c>
      <c r="E61" s="2" t="str">
        <f>VLOOKUP(TRIM(B61),'danh-muc-linh-kien'!$A$2:$D$11,2,FALSE())</f>
        <v>Orange Pi 5 8GB</v>
      </c>
    </row>
    <row r="62" spans="1:5" x14ac:dyDescent="0.3">
      <c r="A62" s="2" t="s">
        <v>97</v>
      </c>
      <c r="B62" s="2" t="s">
        <v>9</v>
      </c>
      <c r="C62" s="2">
        <v>8</v>
      </c>
      <c r="D62" s="4">
        <v>46307</v>
      </c>
      <c r="E62" s="2" t="str">
        <f>VLOOKUP(TRIM(B62),'danh-muc-linh-kien'!$A$2:$D$11,2,FALSE())</f>
        <v>Raspberry Pi 4B 4GB</v>
      </c>
    </row>
    <row r="63" spans="1:5" x14ac:dyDescent="0.3">
      <c r="A63" s="2" t="s">
        <v>98</v>
      </c>
      <c r="B63" s="2" t="s">
        <v>15</v>
      </c>
      <c r="C63" s="2">
        <v>8</v>
      </c>
      <c r="D63" s="4">
        <v>46274</v>
      </c>
      <c r="E63" s="2" t="str">
        <f>VLOOKUP(TRIM(B63),'danh-muc-linh-kien'!$A$2:$D$11,2,FALSE())</f>
        <v>Mini PC Celeron J4125</v>
      </c>
    </row>
    <row r="64" spans="1:5" x14ac:dyDescent="0.3">
      <c r="A64" s="2" t="s">
        <v>99</v>
      </c>
      <c r="B64" s="2" t="s">
        <v>100</v>
      </c>
      <c r="C64" s="2">
        <v>2</v>
      </c>
      <c r="D64" s="4">
        <v>45783</v>
      </c>
      <c r="E64" s="2" t="str">
        <f>VLOOKUP(TRIM(B64),'danh-muc-linh-kien'!$A$2:$D$11,2,FALSE())</f>
        <v>Mini PC AMD Ryzen 3</v>
      </c>
    </row>
    <row r="65" spans="1:5" x14ac:dyDescent="0.3">
      <c r="A65" s="2" t="s">
        <v>101</v>
      </c>
      <c r="B65" s="2" t="s">
        <v>20</v>
      </c>
      <c r="C65" s="2">
        <v>16</v>
      </c>
      <c r="D65" s="4">
        <v>46135</v>
      </c>
      <c r="E65" s="2" t="str">
        <f>VLOOKUP(TRIM(B65),'danh-muc-linh-kien'!$A$2:$D$11,2,FALSE())</f>
        <v>Mini PC AMD Ryzen 3</v>
      </c>
    </row>
    <row r="66" spans="1:5" x14ac:dyDescent="0.3">
      <c r="A66" s="2" t="s">
        <v>102</v>
      </c>
      <c r="B66" s="2" t="s">
        <v>103</v>
      </c>
      <c r="C66" s="2">
        <v>2</v>
      </c>
      <c r="D66" s="4">
        <v>45977</v>
      </c>
      <c r="E66" s="2" t="str">
        <f>VLOOKUP(TRIM(B66),'danh-muc-linh-kien'!$A$2:$D$11,2,FALSE())</f>
        <v>Mini PC AMD Ryzen 3</v>
      </c>
    </row>
    <row r="67" spans="1:5" x14ac:dyDescent="0.3">
      <c r="A67" s="2" t="s">
        <v>104</v>
      </c>
      <c r="B67" s="2" t="s">
        <v>9</v>
      </c>
      <c r="C67" s="2">
        <v>8</v>
      </c>
      <c r="D67" s="4">
        <v>45762</v>
      </c>
      <c r="E67" s="2" t="str">
        <f>VLOOKUP(TRIM(B67),'danh-muc-linh-kien'!$A$2:$D$11,2,FALSE())</f>
        <v>Raspberry Pi 4B 4GB</v>
      </c>
    </row>
    <row r="68" spans="1:5" x14ac:dyDescent="0.3">
      <c r="A68" s="2" t="s">
        <v>105</v>
      </c>
      <c r="B68" s="2" t="s">
        <v>13</v>
      </c>
      <c r="C68" s="2">
        <v>4</v>
      </c>
      <c r="D68" s="4">
        <v>46148</v>
      </c>
      <c r="E68" s="2" t="str">
        <f>VLOOKUP(TRIM(B68),'danh-muc-linh-kien'!$A$2:$D$11,2,FALSE())</f>
        <v>Industrial Box PC Core i3</v>
      </c>
    </row>
    <row r="69" spans="1:5" x14ac:dyDescent="0.3">
      <c r="A69" s="2" t="s">
        <v>106</v>
      </c>
      <c r="B69" s="2" t="s">
        <v>22</v>
      </c>
      <c r="C69" s="2">
        <v>4</v>
      </c>
      <c r="D69" s="4">
        <v>45681</v>
      </c>
      <c r="E69" s="2" t="str">
        <f>VLOOKUP(TRIM(B69),'danh-muc-linh-kien'!$A$2:$D$11,2,FALSE())</f>
        <v>Thin Client J1900</v>
      </c>
    </row>
    <row r="70" spans="1:5" x14ac:dyDescent="0.3">
      <c r="A70" s="2" t="s">
        <v>107</v>
      </c>
      <c r="B70" s="2" t="s">
        <v>22</v>
      </c>
      <c r="C70" s="2">
        <v>4</v>
      </c>
      <c r="D70" s="4">
        <v>46028</v>
      </c>
      <c r="E70" s="2" t="str">
        <f>VLOOKUP(TRIM(B70),'danh-muc-linh-kien'!$A$2:$D$11,2,FALSE())</f>
        <v>Thin Client J1900</v>
      </c>
    </row>
    <row r="71" spans="1:5" x14ac:dyDescent="0.3">
      <c r="A71" s="2" t="s">
        <v>108</v>
      </c>
      <c r="B71" s="2" t="s">
        <v>22</v>
      </c>
      <c r="C71" s="2">
        <v>8</v>
      </c>
      <c r="D71" s="4">
        <v>45685</v>
      </c>
      <c r="E71" s="2" t="str">
        <f>VLOOKUP(TRIM(B71),'danh-muc-linh-kien'!$A$2:$D$11,2,FALSE())</f>
        <v>Thin Client J1900</v>
      </c>
    </row>
    <row r="72" spans="1:5" x14ac:dyDescent="0.3">
      <c r="A72" s="2" t="s">
        <v>109</v>
      </c>
      <c r="B72" s="2" t="s">
        <v>7</v>
      </c>
      <c r="C72" s="2">
        <v>8</v>
      </c>
      <c r="D72" s="4">
        <v>45925</v>
      </c>
      <c r="E72" s="2" t="str">
        <f>VLOOKUP(TRIM(B72),'danh-muc-linh-kien'!$A$2:$D$11,2,FALSE())</f>
        <v>Mini PC Intel N95 4GB</v>
      </c>
    </row>
    <row r="73" spans="1:5" x14ac:dyDescent="0.3">
      <c r="A73" s="2" t="s">
        <v>110</v>
      </c>
      <c r="B73" s="2" t="s">
        <v>111</v>
      </c>
      <c r="C73" s="2">
        <v>4</v>
      </c>
      <c r="D73" s="4">
        <v>46022</v>
      </c>
      <c r="E73" s="2" t="str">
        <f>VLOOKUP(TRIM(B73),'danh-muc-linh-kien'!$A$2:$D$11,2,FALSE())</f>
        <v>Raspberry Pi 4B 4GB</v>
      </c>
    </row>
    <row r="74" spans="1:5" x14ac:dyDescent="0.3">
      <c r="A74" s="2" t="s">
        <v>112</v>
      </c>
      <c r="B74" s="2" t="s">
        <v>22</v>
      </c>
      <c r="C74" s="2">
        <v>8</v>
      </c>
      <c r="D74" s="4">
        <v>46212</v>
      </c>
      <c r="E74" s="2" t="str">
        <f>VLOOKUP(TRIM(B74),'danh-muc-linh-kien'!$A$2:$D$11,2,FALSE())</f>
        <v>Thin Client J1900</v>
      </c>
    </row>
    <row r="75" spans="1:5" x14ac:dyDescent="0.3">
      <c r="A75" s="2" t="s">
        <v>113</v>
      </c>
      <c r="B75" s="2" t="s">
        <v>11</v>
      </c>
      <c r="C75" s="2">
        <v>4</v>
      </c>
      <c r="D75" s="4">
        <v>46285</v>
      </c>
      <c r="E75" s="2" t="str">
        <f>VLOOKUP(TRIM(B75),'danh-muc-linh-kien'!$A$2:$D$11,2,FALSE())</f>
        <v>Orange Pi 5 8GB</v>
      </c>
    </row>
    <row r="76" spans="1:5" x14ac:dyDescent="0.3">
      <c r="A76" s="2" t="s">
        <v>114</v>
      </c>
      <c r="B76" s="2" t="s">
        <v>11</v>
      </c>
      <c r="C76" s="2">
        <v>4</v>
      </c>
      <c r="D76" s="4">
        <v>46068</v>
      </c>
      <c r="E76" s="2" t="str">
        <f>VLOOKUP(TRIM(B76),'danh-muc-linh-kien'!$A$2:$D$11,2,FALSE())</f>
        <v>Orange Pi 5 8GB</v>
      </c>
    </row>
    <row r="77" spans="1:5" x14ac:dyDescent="0.3">
      <c r="A77" s="2" t="s">
        <v>115</v>
      </c>
      <c r="B77" s="2" t="s">
        <v>11</v>
      </c>
      <c r="C77" s="2">
        <v>16</v>
      </c>
      <c r="D77" s="4">
        <v>46188</v>
      </c>
      <c r="E77" s="2" t="str">
        <f>VLOOKUP(TRIM(B77),'danh-muc-linh-kien'!$A$2:$D$11,2,FALSE())</f>
        <v>Orange Pi 5 8GB</v>
      </c>
    </row>
    <row r="78" spans="1:5" x14ac:dyDescent="0.3">
      <c r="A78" s="2" t="s">
        <v>116</v>
      </c>
      <c r="B78" s="2" t="s">
        <v>15</v>
      </c>
      <c r="C78" s="2">
        <v>2</v>
      </c>
      <c r="D78" s="4">
        <v>45687</v>
      </c>
      <c r="E78" s="2" t="str">
        <f>VLOOKUP(TRIM(B78),'danh-muc-linh-kien'!$A$2:$D$11,2,FALSE())</f>
        <v>Mini PC Celeron J4125</v>
      </c>
    </row>
    <row r="79" spans="1:5" x14ac:dyDescent="0.3">
      <c r="A79" s="2" t="s">
        <v>117</v>
      </c>
      <c r="B79" s="2" t="s">
        <v>118</v>
      </c>
      <c r="C79" s="2">
        <v>8</v>
      </c>
      <c r="D79" s="4">
        <v>46141</v>
      </c>
      <c r="E79" s="2" t="str">
        <f>VLOOKUP(TRIM(B79),'danh-muc-linh-kien'!$A$2:$D$11,2,FALSE())</f>
        <v>Industrial Box PC Core i3</v>
      </c>
    </row>
    <row r="80" spans="1:5" x14ac:dyDescent="0.3">
      <c r="A80" s="2" t="s">
        <v>119</v>
      </c>
      <c r="B80" s="2" t="s">
        <v>11</v>
      </c>
      <c r="C80" s="2">
        <v>8</v>
      </c>
      <c r="D80" s="4">
        <v>46277</v>
      </c>
      <c r="E80" s="2" t="str">
        <f>VLOOKUP(TRIM(B80),'danh-muc-linh-kien'!$A$2:$D$11,2,FALSE())</f>
        <v>Orange Pi 5 8GB</v>
      </c>
    </row>
    <row r="81" spans="1:5" x14ac:dyDescent="0.3">
      <c r="A81" s="2" t="s">
        <v>120</v>
      </c>
      <c r="B81" s="2" t="s">
        <v>20</v>
      </c>
      <c r="C81" s="2">
        <v>8</v>
      </c>
      <c r="D81" s="4">
        <v>46015</v>
      </c>
      <c r="E81" s="2" t="str">
        <f>VLOOKUP(TRIM(B81),'danh-muc-linh-kien'!$A$2:$D$11,2,FALSE())</f>
        <v>Mini PC AMD Ryzen 3</v>
      </c>
    </row>
    <row r="82" spans="1:5" x14ac:dyDescent="0.3">
      <c r="A82" s="2" t="s">
        <v>121</v>
      </c>
      <c r="B82" s="2" t="s">
        <v>122</v>
      </c>
      <c r="C82" s="2">
        <v>2</v>
      </c>
      <c r="D82" s="4">
        <v>45883</v>
      </c>
      <c r="E82" s="2" t="str">
        <f>VLOOKUP(TRIM(B82),'danh-muc-linh-kien'!$A$2:$D$11,2,FALSE())</f>
        <v>Mini PC Intel N95 4GB</v>
      </c>
    </row>
    <row r="83" spans="1:5" x14ac:dyDescent="0.3">
      <c r="A83" s="2" t="s">
        <v>123</v>
      </c>
      <c r="B83" s="2" t="s">
        <v>11</v>
      </c>
      <c r="C83" s="2">
        <v>4</v>
      </c>
      <c r="D83" s="4">
        <v>46139</v>
      </c>
      <c r="E83" s="2" t="str">
        <f>VLOOKUP(TRIM(B83),'danh-muc-linh-kien'!$A$2:$D$11,2,FALSE())</f>
        <v>Orange Pi 5 8GB</v>
      </c>
    </row>
    <row r="84" spans="1:5" x14ac:dyDescent="0.3">
      <c r="A84" s="2" t="s">
        <v>124</v>
      </c>
      <c r="B84" s="2" t="s">
        <v>15</v>
      </c>
      <c r="C84" s="2">
        <v>16</v>
      </c>
      <c r="D84" s="4">
        <v>45867</v>
      </c>
      <c r="E84" s="2" t="str">
        <f>VLOOKUP(TRIM(B84),'danh-muc-linh-kien'!$A$2:$D$11,2,FALSE())</f>
        <v>Mini PC Celeron J4125</v>
      </c>
    </row>
    <row r="85" spans="1:5" x14ac:dyDescent="0.3">
      <c r="A85" s="2" t="s">
        <v>125</v>
      </c>
      <c r="B85" s="2" t="s">
        <v>24</v>
      </c>
      <c r="C85" s="2">
        <v>2</v>
      </c>
      <c r="D85" s="4">
        <v>46282</v>
      </c>
      <c r="E85" s="2" t="str">
        <f>VLOOKUP(TRIM(B85),'danh-muc-linh-kien'!$A$2:$D$11,2,FALSE())</f>
        <v>Rock Pi 4 4GB</v>
      </c>
    </row>
    <row r="86" spans="1:5" x14ac:dyDescent="0.3">
      <c r="A86" s="2" t="s">
        <v>126</v>
      </c>
      <c r="B86" s="2" t="s">
        <v>20</v>
      </c>
      <c r="C86" s="2">
        <v>2</v>
      </c>
      <c r="D86" s="4">
        <v>46010</v>
      </c>
      <c r="E86" s="2" t="str">
        <f>VLOOKUP(TRIM(B86),'danh-muc-linh-kien'!$A$2:$D$11,2,FALSE())</f>
        <v>Mini PC AMD Ryzen 3</v>
      </c>
    </row>
    <row r="87" spans="1:5" x14ac:dyDescent="0.3">
      <c r="A87" s="2" t="s">
        <v>127</v>
      </c>
      <c r="B87" s="2" t="s">
        <v>7</v>
      </c>
      <c r="C87" s="2">
        <v>4</v>
      </c>
      <c r="D87" s="4">
        <v>46055</v>
      </c>
      <c r="E87" s="2" t="str">
        <f>VLOOKUP(TRIM(B87),'danh-muc-linh-kien'!$A$2:$D$11,2,FALSE())</f>
        <v>Mini PC Intel N95 4GB</v>
      </c>
    </row>
    <row r="88" spans="1:5" x14ac:dyDescent="0.3">
      <c r="A88" s="2" t="s">
        <v>128</v>
      </c>
      <c r="B88" s="2" t="s">
        <v>20</v>
      </c>
      <c r="C88" s="2">
        <v>16</v>
      </c>
      <c r="D88" s="4">
        <v>45840</v>
      </c>
      <c r="E88" s="2" t="str">
        <f>VLOOKUP(TRIM(B88),'danh-muc-linh-kien'!$A$2:$D$11,2,FALSE())</f>
        <v>Mini PC AMD Ryzen 3</v>
      </c>
    </row>
    <row r="89" spans="1:5" x14ac:dyDescent="0.3">
      <c r="A89" s="2" t="s">
        <v>129</v>
      </c>
      <c r="B89" s="2" t="s">
        <v>15</v>
      </c>
      <c r="C89" s="2">
        <v>16</v>
      </c>
      <c r="D89" s="4">
        <v>45746</v>
      </c>
      <c r="E89" s="2" t="str">
        <f>VLOOKUP(TRIM(B89),'danh-muc-linh-kien'!$A$2:$D$11,2,FALSE())</f>
        <v>Mini PC Celeron J4125</v>
      </c>
    </row>
    <row r="90" spans="1:5" x14ac:dyDescent="0.3">
      <c r="A90" s="2" t="s">
        <v>130</v>
      </c>
      <c r="B90" s="2" t="s">
        <v>20</v>
      </c>
      <c r="C90" s="2">
        <v>2</v>
      </c>
      <c r="D90" s="4">
        <v>46069</v>
      </c>
      <c r="E90" s="2" t="str">
        <f>VLOOKUP(TRIM(B90),'danh-muc-linh-kien'!$A$2:$D$11,2,FALSE())</f>
        <v>Mini PC AMD Ryzen 3</v>
      </c>
    </row>
    <row r="91" spans="1:5" x14ac:dyDescent="0.3">
      <c r="A91" s="2" t="s">
        <v>131</v>
      </c>
      <c r="B91" s="2" t="s">
        <v>111</v>
      </c>
      <c r="C91" s="2">
        <v>4</v>
      </c>
      <c r="D91" s="4">
        <v>45832</v>
      </c>
      <c r="E91" s="2" t="str">
        <f>VLOOKUP(TRIM(B91),'danh-muc-linh-kien'!$A$2:$D$11,2,FALSE())</f>
        <v>Raspberry Pi 4B 4GB</v>
      </c>
    </row>
    <row r="92" spans="1:5" x14ac:dyDescent="0.3">
      <c r="A92" s="2" t="s">
        <v>132</v>
      </c>
      <c r="B92" s="2" t="s">
        <v>133</v>
      </c>
      <c r="C92" s="2">
        <v>16</v>
      </c>
      <c r="D92" s="4">
        <v>45812</v>
      </c>
      <c r="E92" s="2" t="str">
        <f>VLOOKUP(TRIM(B92),'danh-muc-linh-kien'!$A$2:$D$11,2,FALSE())</f>
        <v>Mini PC Intel N100 8GB</v>
      </c>
    </row>
    <row r="93" spans="1:5" x14ac:dyDescent="0.3">
      <c r="A93" s="2" t="s">
        <v>134</v>
      </c>
      <c r="B93" s="2" t="s">
        <v>9</v>
      </c>
      <c r="C93" s="2">
        <v>16</v>
      </c>
      <c r="D93" s="4">
        <v>46284</v>
      </c>
      <c r="E93" s="2" t="str">
        <f>VLOOKUP(TRIM(B93),'danh-muc-linh-kien'!$A$2:$D$11,2,FALSE())</f>
        <v>Raspberry Pi 4B 4GB</v>
      </c>
    </row>
    <row r="94" spans="1:5" x14ac:dyDescent="0.3">
      <c r="A94" s="2" t="s">
        <v>135</v>
      </c>
      <c r="B94" s="2" t="s">
        <v>15</v>
      </c>
      <c r="C94" s="2">
        <v>4</v>
      </c>
      <c r="D94" s="4">
        <v>45817</v>
      </c>
      <c r="E94" s="2" t="str">
        <f>VLOOKUP(TRIM(B94),'danh-muc-linh-kien'!$A$2:$D$11,2,FALSE())</f>
        <v>Mini PC Celeron J4125</v>
      </c>
    </row>
    <row r="95" spans="1:5" x14ac:dyDescent="0.3">
      <c r="A95" s="2" t="s">
        <v>136</v>
      </c>
      <c r="B95" s="2" t="s">
        <v>4</v>
      </c>
      <c r="C95" s="2">
        <v>2</v>
      </c>
      <c r="D95" s="4">
        <v>45672</v>
      </c>
      <c r="E95" s="2" t="str">
        <f>VLOOKUP(TRIM(B95),'danh-muc-linh-kien'!$A$2:$D$11,2,FALSE())</f>
        <v>Mini PC Intel N100 8GB</v>
      </c>
    </row>
    <row r="96" spans="1:5" x14ac:dyDescent="0.3">
      <c r="A96" s="2" t="s">
        <v>137</v>
      </c>
      <c r="B96" s="2" t="s">
        <v>22</v>
      </c>
      <c r="C96" s="2">
        <v>16</v>
      </c>
      <c r="D96" s="4">
        <v>45800</v>
      </c>
      <c r="E96" s="2" t="str">
        <f>VLOOKUP(TRIM(B96),'danh-muc-linh-kien'!$A$2:$D$11,2,FALSE())</f>
        <v>Thin Client J1900</v>
      </c>
    </row>
    <row r="97" spans="1:5" x14ac:dyDescent="0.3">
      <c r="A97" s="2" t="s">
        <v>138</v>
      </c>
      <c r="B97" s="2" t="s">
        <v>11</v>
      </c>
      <c r="C97" s="2">
        <v>2</v>
      </c>
      <c r="D97" s="4">
        <v>45874</v>
      </c>
      <c r="E97" s="2" t="str">
        <f>VLOOKUP(TRIM(B97),'danh-muc-linh-kien'!$A$2:$D$11,2,FALSE())</f>
        <v>Orange Pi 5 8GB</v>
      </c>
    </row>
    <row r="98" spans="1:5" x14ac:dyDescent="0.3">
      <c r="A98" s="2" t="s">
        <v>139</v>
      </c>
      <c r="B98" s="2" t="s">
        <v>13</v>
      </c>
      <c r="C98" s="2">
        <v>8</v>
      </c>
      <c r="D98" s="4">
        <v>45875</v>
      </c>
      <c r="E98" s="2" t="str">
        <f>VLOOKUP(TRIM(B98),'danh-muc-linh-kien'!$A$2:$D$11,2,FALSE())</f>
        <v>Industrial Box PC Core i3</v>
      </c>
    </row>
    <row r="99" spans="1:5" x14ac:dyDescent="0.3">
      <c r="A99" s="2" t="s">
        <v>140</v>
      </c>
      <c r="B99" s="2" t="s">
        <v>22</v>
      </c>
      <c r="C99" s="2">
        <v>8</v>
      </c>
      <c r="D99" s="4">
        <v>45904</v>
      </c>
      <c r="E99" s="2" t="str">
        <f>VLOOKUP(TRIM(B99),'danh-muc-linh-kien'!$A$2:$D$11,2,FALSE())</f>
        <v>Thin Client J1900</v>
      </c>
    </row>
    <row r="100" spans="1:5" x14ac:dyDescent="0.3">
      <c r="A100" s="2" t="s">
        <v>141</v>
      </c>
      <c r="B100" s="2" t="s">
        <v>142</v>
      </c>
      <c r="C100" s="2">
        <v>16</v>
      </c>
      <c r="D100" s="4">
        <v>46215</v>
      </c>
      <c r="E100" s="2" t="str">
        <f>VLOOKUP(TRIM(B100),'danh-muc-linh-kien'!$A$2:$D$11,2,FALSE())</f>
        <v>Industrial Box PC Core i3</v>
      </c>
    </row>
    <row r="101" spans="1:5" x14ac:dyDescent="0.3">
      <c r="A101" s="2" t="s">
        <v>143</v>
      </c>
      <c r="B101" s="2" t="s">
        <v>9</v>
      </c>
      <c r="C101" s="2">
        <v>8</v>
      </c>
      <c r="D101" s="4">
        <v>45720</v>
      </c>
      <c r="E101" s="2" t="str">
        <f>VLOOKUP(TRIM(B101),'danh-muc-linh-kien'!$A$2:$D$11,2,FALSE())</f>
        <v>Raspberry Pi 4B 4GB</v>
      </c>
    </row>
  </sheetData>
  <autoFilter ref="A1:E101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zoomScaleNormal="100" workbookViewId="0">
      <selection activeCell="A21" sqref="A21"/>
    </sheetView>
  </sheetViews>
  <sheetFormatPr defaultColWidth="8.6640625" defaultRowHeight="14.4" x14ac:dyDescent="0.3"/>
  <cols>
    <col min="1" max="1" width="87.88671875" bestFit="1" customWidth="1"/>
    <col min="2" max="2" width="14" customWidth="1"/>
    <col min="3" max="3" width="18" customWidth="1"/>
  </cols>
  <sheetData>
    <row r="1" spans="1:3" x14ac:dyDescent="0.3">
      <c r="A1" s="5" t="s">
        <v>144</v>
      </c>
      <c r="B1" s="2"/>
      <c r="C1" s="2"/>
    </row>
    <row r="2" spans="1:3" x14ac:dyDescent="0.3">
      <c r="A2" s="2" t="s">
        <v>145</v>
      </c>
      <c r="B2" s="2"/>
      <c r="C2" s="2"/>
    </row>
    <row r="3" spans="1:3" x14ac:dyDescent="0.3">
      <c r="A3" s="2" t="s">
        <v>146</v>
      </c>
      <c r="B3" s="2"/>
      <c r="C3" s="2"/>
    </row>
    <row r="4" spans="1:3" x14ac:dyDescent="0.3">
      <c r="A4" s="2" t="s">
        <v>147</v>
      </c>
      <c r="B4" s="2"/>
      <c r="C4" s="2"/>
    </row>
    <row r="5" spans="1:3" x14ac:dyDescent="0.3">
      <c r="A5" s="2" t="s">
        <v>148</v>
      </c>
      <c r="B5" s="2"/>
      <c r="C5" s="2"/>
    </row>
    <row r="6" spans="1:3" x14ac:dyDescent="0.3">
      <c r="A6" s="2" t="s">
        <v>149</v>
      </c>
      <c r="B6" s="2"/>
      <c r="C6" s="2"/>
    </row>
    <row r="7" spans="1:3" x14ac:dyDescent="0.3">
      <c r="A7" s="2"/>
      <c r="B7" s="2"/>
      <c r="C7" s="2"/>
    </row>
    <row r="8" spans="1:3" x14ac:dyDescent="0.3">
      <c r="A8" s="5" t="s">
        <v>150</v>
      </c>
      <c r="B8" s="2"/>
      <c r="C8" s="2"/>
    </row>
    <row r="9" spans="1:3" x14ac:dyDescent="0.3">
      <c r="A9" s="2" t="s">
        <v>151</v>
      </c>
      <c r="B9" s="6">
        <v>500</v>
      </c>
      <c r="C9" s="2"/>
    </row>
    <row r="10" spans="1:3" x14ac:dyDescent="0.3">
      <c r="A10" s="2" t="s">
        <v>152</v>
      </c>
      <c r="B10" s="6">
        <v>100</v>
      </c>
      <c r="C10" s="2"/>
    </row>
    <row r="11" spans="1:3" x14ac:dyDescent="0.3">
      <c r="A11" s="2" t="s">
        <v>153</v>
      </c>
      <c r="B11" s="6">
        <v>8</v>
      </c>
      <c r="C11" s="2"/>
    </row>
    <row r="12" spans="1:3" x14ac:dyDescent="0.3">
      <c r="A12" s="2" t="s">
        <v>154</v>
      </c>
      <c r="B12" s="7">
        <f>B10/B11</f>
        <v>12.5</v>
      </c>
      <c r="C12" s="2"/>
    </row>
    <row r="13" spans="1:3" x14ac:dyDescent="0.3">
      <c r="A13" s="2" t="s">
        <v>155</v>
      </c>
      <c r="B13" s="7">
        <f>B9/B12</f>
        <v>40</v>
      </c>
      <c r="C13" s="2"/>
    </row>
    <row r="14" spans="1:3" x14ac:dyDescent="0.3">
      <c r="A14" s="2" t="s">
        <v>156</v>
      </c>
      <c r="B14" s="7">
        <f>B13/60</f>
        <v>0.66666666666666663</v>
      </c>
      <c r="C14" s="2"/>
    </row>
    <row r="15" spans="1:3" x14ac:dyDescent="0.3">
      <c r="A15" s="2"/>
      <c r="B15" s="2"/>
      <c r="C15" s="2"/>
    </row>
    <row r="16" spans="1:3" x14ac:dyDescent="0.3">
      <c r="A16" s="5" t="s">
        <v>152</v>
      </c>
      <c r="B16" s="5" t="s">
        <v>157</v>
      </c>
      <c r="C16" s="5" t="s">
        <v>158</v>
      </c>
    </row>
    <row r="17" spans="1:3" x14ac:dyDescent="0.3">
      <c r="A17" s="6">
        <v>10</v>
      </c>
      <c r="B17" s="7">
        <f>A17/$B$11</f>
        <v>1.25</v>
      </c>
      <c r="C17" s="8">
        <f>$B$9/B17</f>
        <v>400</v>
      </c>
    </row>
    <row r="18" spans="1:3" x14ac:dyDescent="0.3">
      <c r="A18" s="6">
        <v>50</v>
      </c>
      <c r="B18" s="7">
        <f>A18/$B$11</f>
        <v>6.25</v>
      </c>
      <c r="C18" s="8">
        <f>$B$9/B18</f>
        <v>80</v>
      </c>
    </row>
    <row r="19" spans="1:3" x14ac:dyDescent="0.3">
      <c r="A19" s="6">
        <v>80</v>
      </c>
      <c r="B19" s="7">
        <f>A19/$B$11</f>
        <v>10</v>
      </c>
      <c r="C19" s="8">
        <f>$B$9/B19</f>
        <v>50</v>
      </c>
    </row>
    <row r="20" spans="1:3" x14ac:dyDescent="0.3">
      <c r="A20" s="6">
        <v>100</v>
      </c>
      <c r="B20" s="7">
        <f>A20/$B$11</f>
        <v>12.5</v>
      </c>
      <c r="C20" s="8">
        <f>$B$9/B20</f>
        <v>40</v>
      </c>
    </row>
    <row r="21" spans="1:3" x14ac:dyDescent="0.3">
      <c r="A21" s="6">
        <v>1000</v>
      </c>
      <c r="B21" s="7">
        <f>A21/$B$11</f>
        <v>125</v>
      </c>
      <c r="C21" s="8">
        <f>$B$9/B21</f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danh-muc-linh-kien</vt:lpstr>
      <vt:lpstr>trang-thai-tram</vt:lpstr>
      <vt:lpstr>huong-dan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Thái</cp:lastModifiedBy>
  <cp:revision>0</cp:revision>
  <dcterms:created xsi:type="dcterms:W3CDTF">2026-10-29T02:10:24Z</dcterms:created>
  <dcterms:modified xsi:type="dcterms:W3CDTF">2026-10-29T02:13:36Z</dcterms:modified>
  <dc:language>en-US</dc:language>
</cp:coreProperties>
</file>